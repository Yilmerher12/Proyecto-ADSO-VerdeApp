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ilme\Downloads\"/>
    </mc:Choice>
  </mc:AlternateContent>
  <xr:revisionPtr revIDLastSave="0" documentId="8_{8F1A6787-032B-4AFC-B626-1E968E3066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13" i="1"/>
  <c r="G21" i="1"/>
  <c r="H29" i="1"/>
  <c r="E27" i="1"/>
  <c r="D27" i="1"/>
  <c r="H21" i="1"/>
  <c r="E19" i="1"/>
  <c r="D19" i="1"/>
  <c r="H13" i="1"/>
  <c r="E11" i="1"/>
  <c r="D11" i="1"/>
  <c r="H5" i="1"/>
  <c r="G5" i="1"/>
  <c r="E3" i="1"/>
  <c r="D3" i="1"/>
</calcChain>
</file>

<file path=xl/sharedStrings.xml><?xml version="1.0" encoding="utf-8"?>
<sst xmlns="http://schemas.openxmlformats.org/spreadsheetml/2006/main" count="53" uniqueCount="28">
  <si>
    <t>SPRINT 1</t>
  </si>
  <si>
    <t>Registro  y acceso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</si>
  <si>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</si>
  <si>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</si>
  <si>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</si>
  <si>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</si>
  <si>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</si>
  <si>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</si>
  <si>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</si>
  <si>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 xml:space="preserve">VELOCIDAD </t>
  </si>
  <si>
    <t>Como residente de la unidad, quiero crear una cuenta vinculando mi número de torre y apartamento para poder solicitar kits de reciclaje y acumular puntos por mi material.</t>
  </si>
  <si>
    <t>Como reciclador externo, quiero registrar mis datos personales y de contacto en el sistema para ser asignado a rutas de recolección y recibir los pagos digitales.</t>
  </si>
  <si>
    <t>SPRINT 2</t>
  </si>
  <si>
    <t xml:space="preserve">reportes y graficas </t>
  </si>
  <si>
    <t>Como residente, quiero ver una gráfica de mi historial de reciclaje y puntos ganados para motivarme a seguir participando y alcanzar nuevos rangos ambientales (RQF010).</t>
  </si>
  <si>
    <t>SPRINT 3</t>
  </si>
  <si>
    <t>Servicio especial</t>
  </si>
  <si>
    <t>H3</t>
  </si>
  <si>
    <t>H4</t>
  </si>
  <si>
    <t>SPRINT 4</t>
  </si>
  <si>
    <t>Como residente, quiero vincular mi bolsa de reciclaje usando una etiqueta QR genérica para que el sistema sepa qué material estoy entregando</t>
  </si>
  <si>
    <t>Como residente, quiero escanear el codigo QR de mi unidad (torre y apto), y registrar el peso de mi bolsa para declarar mi material reciclable.</t>
  </si>
  <si>
    <t>Como reciclador, quiero calificar la calidad de la bolsa recibida con base a la forma de entrega y reciclar por parte del residente, con las categorias (Verde, Amarillo, Rojo) para asignar los puntos correspondientes al residente.</t>
  </si>
  <si>
    <t>Como residente, quiero solicitar el retiro de electrodomésticos grandes para gestionar su disposición final de forma segura, contactando a puntos de acopio cercanos.</t>
  </si>
  <si>
    <t>Como punto de acopio, quiero subir la foto de soporte del retiro y validar el servicio para que el sistema libere los fondos del pago a mi cuenta de forma automática</t>
  </si>
  <si>
    <t>Como usuario Administrador y punto de acopio, quiero ingresar con mi correo y contraseña para acceder a mis funciones.</t>
  </si>
  <si>
    <t>Como administrador, quiero generar un reporte en PDF de la gestión de residuos para cumplir con la normativa legal ambiental..</t>
  </si>
  <si>
    <t>Registro y auditoria de material reciclable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</si>
</sst>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_ "/>
  </numFmts>
  <fonts count="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sz val="11"/>
      <name val="Calibri"/>
      <charset val="134"/>
    </font>
    <font>
      <b/>
      <sz val="14"/>
      <color rgb="FFFFFFFF"/>
      <name val="Calibri"/>
      <charset val="134"/>
    </font>
    <font>
      <b/>
      <sz val="14"/>
      <color theme="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4" fillId="2" borderId="5" xfId="0" applyFont="1" applyFill="1" applyBorder="1"/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4" fillId="2" borderId="10" xfId="0" applyFont="1" applyFill="1" applyBorder="1"/>
    <xf numFmtId="0" fontId="5" fillId="2" borderId="11" xfId="0" applyFont="1" applyFill="1" applyBorder="1"/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6" xfId="0" applyFont="1" applyBorder="1"/>
    <xf numFmtId="0" fontId="2" fillId="0" borderId="17" xfId="0" applyFont="1" applyBorder="1"/>
    <xf numFmtId="0" fontId="2" fillId="0" borderId="9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2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5" fillId="2" borderId="20" xfId="0" applyFont="1" applyFill="1" applyBorder="1"/>
    <xf numFmtId="0" fontId="5" fillId="2" borderId="21" xfId="0" applyFont="1" applyFill="1" applyBorder="1"/>
    <xf numFmtId="0" fontId="5" fillId="2" borderId="22" xfId="0" applyFont="1" applyFill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68" fontId="2" fillId="0" borderId="13" xfId="0" applyNumberFormat="1" applyFont="1" applyBorder="1" applyAlignment="1">
      <alignment horizontal="center"/>
    </xf>
    <xf numFmtId="168" fontId="2" fillId="0" borderId="15" xfId="0" applyNumberFormat="1" applyFont="1" applyBorder="1" applyAlignment="1">
      <alignment horizontal="center"/>
    </xf>
    <xf numFmtId="168" fontId="2" fillId="0" borderId="19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58"/>
  <sheetViews>
    <sheetView tabSelected="1" topLeftCell="A22" zoomScale="80" zoomScaleNormal="80" workbookViewId="0">
      <selection activeCell="G33" sqref="G33"/>
    </sheetView>
  </sheetViews>
  <sheetFormatPr defaultColWidth="14.42578125" defaultRowHeight="15" customHeight="1"/>
  <cols>
    <col min="1" max="1" width="10.7109375" customWidth="1"/>
    <col min="2" max="2" width="77.7109375" customWidth="1"/>
    <col min="3" max="3" width="11.42578125" customWidth="1"/>
    <col min="4" max="4" width="17.28515625" customWidth="1"/>
    <col min="5" max="5" width="36.85546875" customWidth="1"/>
    <col min="6" max="6" width="19" customWidth="1"/>
    <col min="7" max="7" width="32.7109375" customWidth="1"/>
    <col min="8" max="8" width="15" customWidth="1"/>
    <col min="9" max="26" width="10.7109375" customWidth="1"/>
  </cols>
  <sheetData>
    <row r="2" spans="2:8" ht="18.75">
      <c r="B2" s="2" t="s">
        <v>0</v>
      </c>
      <c r="C2" s="18" t="s">
        <v>1</v>
      </c>
      <c r="D2" s="19"/>
      <c r="E2" s="19"/>
      <c r="F2" s="19"/>
      <c r="G2" s="19"/>
      <c r="H2" s="20"/>
    </row>
    <row r="3" spans="2:8" ht="18.75">
      <c r="B3" s="3" t="s">
        <v>2</v>
      </c>
      <c r="C3" s="4">
        <v>3</v>
      </c>
      <c r="D3" s="5" t="str">
        <f>IF(C3&gt;4,"No viable","Viable")</f>
        <v>Viable</v>
      </c>
      <c r="E3" s="21" t="str">
        <f>CONCATENATE("Las semanas destinadas son: "&amp;C3)</f>
        <v>Las semanas destinadas son: 3</v>
      </c>
      <c r="F3" s="22"/>
      <c r="G3" s="22"/>
      <c r="H3" s="23"/>
    </row>
    <row r="4" spans="2:8" ht="18.75">
      <c r="B4" s="6" t="s">
        <v>3</v>
      </c>
      <c r="C4" s="7" t="s">
        <v>4</v>
      </c>
      <c r="D4" s="7" t="s">
        <v>5</v>
      </c>
      <c r="E4" s="8" t="s">
        <v>6</v>
      </c>
      <c r="F4" s="7" t="s">
        <v>7</v>
      </c>
      <c r="G4" s="7" t="s">
        <v>8</v>
      </c>
      <c r="H4" s="9" t="s">
        <v>9</v>
      </c>
    </row>
    <row r="5" spans="2:8" ht="106.5" customHeight="1">
      <c r="B5" s="10" t="s">
        <v>25</v>
      </c>
      <c r="C5" s="11">
        <v>3</v>
      </c>
      <c r="D5" s="29">
        <v>4</v>
      </c>
      <c r="E5" s="35">
        <v>15</v>
      </c>
      <c r="F5" s="41">
        <v>15</v>
      </c>
      <c r="G5" s="41">
        <f>D5*E5*F5</f>
        <v>900</v>
      </c>
      <c r="H5" s="44">
        <f>AVERAGE(C5:C8)</f>
        <v>4.6666666666666696</v>
      </c>
    </row>
    <row r="6" spans="2:8" ht="92.25" customHeight="1">
      <c r="B6" s="12" t="s">
        <v>10</v>
      </c>
      <c r="C6" s="11">
        <v>3</v>
      </c>
      <c r="D6" s="30"/>
      <c r="E6" s="36"/>
      <c r="F6" s="42"/>
      <c r="G6" s="42"/>
      <c r="H6" s="45"/>
    </row>
    <row r="7" spans="2:8" s="1" customFormat="1" ht="71.25" customHeight="1">
      <c r="B7" s="12" t="s">
        <v>11</v>
      </c>
      <c r="C7" s="13">
        <v>8</v>
      </c>
      <c r="D7" s="30"/>
      <c r="E7" s="36"/>
      <c r="F7" s="42"/>
      <c r="G7" s="42"/>
      <c r="H7" s="45"/>
    </row>
    <row r="8" spans="2:8" ht="18.75">
      <c r="B8" s="14"/>
      <c r="C8" s="15"/>
      <c r="D8" s="31"/>
      <c r="E8" s="37"/>
      <c r="F8" s="43"/>
      <c r="G8" s="43"/>
      <c r="H8" s="46"/>
    </row>
    <row r="10" spans="2:8" ht="15.75" customHeight="1">
      <c r="B10" s="2" t="s">
        <v>12</v>
      </c>
      <c r="C10" s="18" t="s">
        <v>13</v>
      </c>
      <c r="D10" s="19"/>
      <c r="E10" s="19"/>
      <c r="F10" s="19"/>
      <c r="G10" s="19"/>
      <c r="H10" s="20"/>
    </row>
    <row r="11" spans="2:8" ht="15.75" customHeight="1">
      <c r="B11" s="3" t="s">
        <v>2</v>
      </c>
      <c r="C11" s="4"/>
      <c r="D11" s="5" t="str">
        <f>IF(C11&gt;4,"No viable","Viable")</f>
        <v>Viable</v>
      </c>
      <c r="E11" s="24" t="str">
        <f>CONCATENATE("Las semanas destinadas son: "&amp;C11)</f>
        <v>Las semanas destinadas son:</v>
      </c>
      <c r="F11" s="25"/>
      <c r="G11" s="25"/>
      <c r="H11" s="26"/>
    </row>
    <row r="12" spans="2:8" ht="15.75" customHeight="1">
      <c r="B12" s="6" t="s">
        <v>3</v>
      </c>
      <c r="C12" s="7" t="s">
        <v>4</v>
      </c>
      <c r="D12" s="7" t="s">
        <v>5</v>
      </c>
      <c r="E12" s="8" t="s">
        <v>6</v>
      </c>
      <c r="F12" s="7" t="s">
        <v>7</v>
      </c>
      <c r="G12" s="7" t="s">
        <v>8</v>
      </c>
      <c r="H12" s="9" t="s">
        <v>9</v>
      </c>
    </row>
    <row r="13" spans="2:8" ht="69" customHeight="1">
      <c r="B13" s="12" t="s">
        <v>26</v>
      </c>
      <c r="C13" s="11">
        <v>8</v>
      </c>
      <c r="D13" s="32">
        <v>4</v>
      </c>
      <c r="E13" s="38">
        <v>20</v>
      </c>
      <c r="F13" s="32">
        <v>15</v>
      </c>
      <c r="G13" s="32">
        <f>D13*E13*F13</f>
        <v>1200</v>
      </c>
      <c r="H13" s="47">
        <f>AVERAGE(C13:C16)</f>
        <v>6.5</v>
      </c>
    </row>
    <row r="14" spans="2:8" ht="57" customHeight="1">
      <c r="B14" s="12" t="s">
        <v>14</v>
      </c>
      <c r="C14" s="11">
        <v>5</v>
      </c>
      <c r="D14" s="33"/>
      <c r="E14" s="39"/>
      <c r="F14" s="33"/>
      <c r="G14" s="33"/>
      <c r="H14" s="48"/>
    </row>
    <row r="15" spans="2:8" ht="15.75" customHeight="1">
      <c r="B15" s="16"/>
      <c r="C15" s="11"/>
      <c r="D15" s="33"/>
      <c r="E15" s="39"/>
      <c r="F15" s="33"/>
      <c r="G15" s="33"/>
      <c r="H15" s="48"/>
    </row>
    <row r="16" spans="2:8" ht="15.75" customHeight="1">
      <c r="B16" s="14"/>
      <c r="C16" s="15"/>
      <c r="D16" s="34"/>
      <c r="E16" s="40"/>
      <c r="F16" s="34"/>
      <c r="G16" s="34"/>
      <c r="H16" s="49"/>
    </row>
    <row r="17" spans="2:8" ht="15.75" customHeight="1"/>
    <row r="18" spans="2:8" ht="15.75" customHeight="1">
      <c r="B18" s="2" t="s">
        <v>15</v>
      </c>
      <c r="C18" s="18" t="s">
        <v>16</v>
      </c>
      <c r="D18" s="27"/>
      <c r="E18" s="27"/>
      <c r="F18" s="27"/>
      <c r="G18" s="27"/>
      <c r="H18" s="28"/>
    </row>
    <row r="19" spans="2:8" ht="15.75" customHeight="1">
      <c r="B19" s="3" t="s">
        <v>2</v>
      </c>
      <c r="C19" s="4"/>
      <c r="D19" s="5" t="str">
        <f>IF(C19&gt;4,"No viable","Viable")</f>
        <v>Viable</v>
      </c>
      <c r="E19" s="24" t="str">
        <f>CONCATENATE("Las semanas destinadas son: "&amp;C19)</f>
        <v>Las semanas destinadas son:</v>
      </c>
      <c r="F19" s="25"/>
      <c r="G19" s="25"/>
      <c r="H19" s="26"/>
    </row>
    <row r="20" spans="2:8" ht="15.75" customHeight="1">
      <c r="B20" s="6" t="s">
        <v>3</v>
      </c>
      <c r="C20" s="7" t="s">
        <v>4</v>
      </c>
      <c r="D20" s="7" t="s">
        <v>5</v>
      </c>
      <c r="E20" s="8" t="s">
        <v>6</v>
      </c>
      <c r="F20" s="7" t="s">
        <v>7</v>
      </c>
      <c r="G20" s="7" t="s">
        <v>8</v>
      </c>
      <c r="H20" s="9" t="s">
        <v>9</v>
      </c>
    </row>
    <row r="21" spans="2:8" ht="78.75" customHeight="1">
      <c r="B21" s="12" t="s">
        <v>23</v>
      </c>
      <c r="C21" s="11">
        <v>13</v>
      </c>
      <c r="D21" s="32">
        <v>4</v>
      </c>
      <c r="E21" s="38">
        <v>14</v>
      </c>
      <c r="F21" s="32">
        <v>15</v>
      </c>
      <c r="G21" s="32">
        <f>D21*E21*F21</f>
        <v>840</v>
      </c>
      <c r="H21" s="50">
        <f>AVERAGE(C21:C24)</f>
        <v>13</v>
      </c>
    </row>
    <row r="22" spans="2:8" ht="58.5" customHeight="1">
      <c r="B22" s="17" t="s">
        <v>24</v>
      </c>
      <c r="C22" s="11">
        <v>13</v>
      </c>
      <c r="D22" s="33"/>
      <c r="E22" s="39"/>
      <c r="F22" s="33"/>
      <c r="G22" s="33"/>
      <c r="H22" s="51"/>
    </row>
    <row r="23" spans="2:8" ht="15.75" customHeight="1">
      <c r="B23" s="16" t="s">
        <v>17</v>
      </c>
      <c r="C23" s="11"/>
      <c r="D23" s="33"/>
      <c r="E23" s="39"/>
      <c r="F23" s="33"/>
      <c r="G23" s="33"/>
      <c r="H23" s="51"/>
    </row>
    <row r="24" spans="2:8" ht="15.75" customHeight="1">
      <c r="B24" s="14" t="s">
        <v>18</v>
      </c>
      <c r="C24" s="15"/>
      <c r="D24" s="34"/>
      <c r="E24" s="40"/>
      <c r="F24" s="34"/>
      <c r="G24" s="34"/>
      <c r="H24" s="52"/>
    </row>
    <row r="25" spans="2:8" ht="15.75" customHeight="1"/>
    <row r="26" spans="2:8" ht="15.75" customHeight="1">
      <c r="B26" s="2" t="s">
        <v>19</v>
      </c>
      <c r="C26" s="18" t="s">
        <v>27</v>
      </c>
      <c r="D26" s="27"/>
      <c r="E26" s="27"/>
      <c r="F26" s="27"/>
      <c r="G26" s="27"/>
      <c r="H26" s="28"/>
    </row>
    <row r="27" spans="2:8" ht="15.75" customHeight="1">
      <c r="B27" s="3" t="s">
        <v>2</v>
      </c>
      <c r="C27" s="4"/>
      <c r="D27" s="5" t="str">
        <f>IF(C27&gt;4,"No viable","Viable")</f>
        <v>Viable</v>
      </c>
      <c r="E27" s="24" t="str">
        <f>CONCATENATE("Las semanas destinadas son: "&amp;C27)</f>
        <v>Las semanas destinadas son:</v>
      </c>
      <c r="F27" s="25"/>
      <c r="G27" s="25"/>
      <c r="H27" s="26"/>
    </row>
    <row r="28" spans="2:8" ht="15.75" customHeight="1">
      <c r="B28" s="6" t="s">
        <v>3</v>
      </c>
      <c r="C28" s="7" t="s">
        <v>4</v>
      </c>
      <c r="D28" s="7" t="s">
        <v>5</v>
      </c>
      <c r="E28" s="8" t="s">
        <v>6</v>
      </c>
      <c r="F28" s="7" t="s">
        <v>7</v>
      </c>
      <c r="G28" s="7" t="s">
        <v>8</v>
      </c>
      <c r="H28" s="9" t="s">
        <v>9</v>
      </c>
    </row>
    <row r="29" spans="2:8" ht="70.5" customHeight="1">
      <c r="B29" s="17" t="s">
        <v>20</v>
      </c>
      <c r="C29" s="11">
        <v>8</v>
      </c>
      <c r="D29" s="32">
        <v>4</v>
      </c>
      <c r="E29" s="38">
        <v>25</v>
      </c>
      <c r="F29" s="32">
        <v>15</v>
      </c>
      <c r="G29" s="32">
        <f>D29*E29*F29</f>
        <v>1500</v>
      </c>
      <c r="H29" s="50">
        <f>AVERAGE(C29:C32)</f>
        <v>9.6666666666666661</v>
      </c>
    </row>
    <row r="30" spans="2:8" ht="57" customHeight="1">
      <c r="B30" s="17" t="s">
        <v>21</v>
      </c>
      <c r="C30" s="11">
        <v>13</v>
      </c>
      <c r="D30" s="33"/>
      <c r="E30" s="39"/>
      <c r="F30" s="33"/>
      <c r="G30" s="33"/>
      <c r="H30" s="51"/>
    </row>
    <row r="31" spans="2:8" ht="75">
      <c r="B31" s="17" t="s">
        <v>22</v>
      </c>
      <c r="C31" s="11">
        <v>8</v>
      </c>
      <c r="D31" s="33"/>
      <c r="E31" s="39"/>
      <c r="F31" s="33"/>
      <c r="G31" s="33"/>
      <c r="H31" s="51"/>
    </row>
    <row r="32" spans="2:8" ht="15.75" customHeight="1">
      <c r="B32" s="14" t="s">
        <v>18</v>
      </c>
      <c r="C32" s="15"/>
      <c r="D32" s="34"/>
      <c r="E32" s="40"/>
      <c r="F32" s="34"/>
      <c r="G32" s="34"/>
      <c r="H32" s="5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28">
    <mergeCell ref="H29:H32"/>
    <mergeCell ref="F29:F32"/>
    <mergeCell ref="G5:G8"/>
    <mergeCell ref="G13:G16"/>
    <mergeCell ref="G21:G24"/>
    <mergeCell ref="G29:G32"/>
    <mergeCell ref="D29:D32"/>
    <mergeCell ref="E5:E8"/>
    <mergeCell ref="E13:E16"/>
    <mergeCell ref="E21:E24"/>
    <mergeCell ref="E29:E32"/>
    <mergeCell ref="E19:H19"/>
    <mergeCell ref="C26:H26"/>
    <mergeCell ref="E27:H27"/>
    <mergeCell ref="D5:D8"/>
    <mergeCell ref="D13:D16"/>
    <mergeCell ref="D21:D24"/>
    <mergeCell ref="F5:F8"/>
    <mergeCell ref="F13:F16"/>
    <mergeCell ref="F21:F24"/>
    <mergeCell ref="H5:H8"/>
    <mergeCell ref="H13:H16"/>
    <mergeCell ref="H21:H24"/>
    <mergeCell ref="C2:H2"/>
    <mergeCell ref="E3:H3"/>
    <mergeCell ref="C10:H10"/>
    <mergeCell ref="E11:H11"/>
    <mergeCell ref="C18:H18"/>
  </mergeCells>
  <dataValidations count="1">
    <dataValidation type="decimal" operator="lessThanOrEqual" allowBlank="1" showErrorMessage="1" sqref="C3 C11 C19 C27" xr:uid="{00000000-0002-0000-0000-000000000000}">
      <formula1>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Camilo's PC</dc:creator>
  <cp:lastModifiedBy>Yilmer 23</cp:lastModifiedBy>
  <dcterms:created xsi:type="dcterms:W3CDTF">2026-05-04T16:39:00Z</dcterms:created>
  <dcterms:modified xsi:type="dcterms:W3CDTF">2026-05-19T23:08:33Z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2026-05-12T01:36:58Z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42a1372a-4b6f-4255-93c7-f0ceff277d45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ICV">
    <vt:lpwstr>CA6D27B488FF44F08A5DCFAC1C3D9F67_12</vt:lpwstr>
  </property>
  <property fmtid="{D5CDD505-2E9C-101B-9397-08002B2CF9AE}" pid="11" name="KSOProductBuildVer">
    <vt:lpwstr>3082-12.1.0.25862</vt:lpwstr>
  </property>
  <property fmtid="{D5CDD505-2E9C-101B-9397-08002B2CF9AE}" pid="12" name="CalculationRule">
    <vt:i4>0</vt:i4>
  </property>
</Properties>
</file>